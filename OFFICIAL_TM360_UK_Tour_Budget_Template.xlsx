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ur Budget" sheetId="1" state="visible" r:id="rId3"/>
    <sheet name="Show Income" sheetId="2" state="visible" r:id="rId4"/>
    <sheet name="Merch" sheetId="3" state="visible" r:id="rId5"/>
    <sheet name="Cashflow" sheetId="4" state="visible" r:id="rId6"/>
    <sheet name="Assumptions" sheetId="5" state="visible" r:id="rId7"/>
    <sheet name="Instructions" sheetId="6" state="visible" r:id="rId8"/>
  </sheets>
  <definedNames>
    <definedName function="false" hidden="true" localSheetId="1" name="_xlnm._FilterDatabase" vbProcedure="false">'Show Income'!$A$5:$K$35</definedName>
    <definedName function="false" hidden="true" localSheetId="0" name="_xlnm._FilterDatabase" vbProcedure="false">'Tour Budget'!$A$17:$H$38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<sst xmlns="http://schemas.openxmlformats.org/spreadsheetml/2006/main" count="143" uniqueCount="122">
  <si>
    <t xml:space="preserve">TM360° UK TOUR BUDGET TEMPLATE</t>
  </si>
  <si>
    <t xml:space="preserve">Plan the full financial position before committing to the road.</t>
  </si>
  <si>
    <t xml:space="preserve">OFFICIAL</t>
  </si>
  <si>
    <t xml:space="preserve">INCOME</t>
  </si>
  <si>
    <t xml:space="preserve">Category</t>
  </si>
  <si>
    <t xml:space="preserve">Description / Source</t>
  </si>
  <si>
    <t xml:space="preserve">Status</t>
  </si>
  <si>
    <t xml:space="preserve">Qty</t>
  </si>
  <si>
    <t xml:space="preserve">Unit Value (£)</t>
  </si>
  <si>
    <t xml:space="preserve">Net (£)</t>
  </si>
  <si>
    <t xml:space="preserve">Evidence / Notes</t>
  </si>
  <si>
    <t xml:space="preserve">Owner</t>
  </si>
  <si>
    <t xml:space="preserve">Show income</t>
  </si>
  <si>
    <t xml:space="preserve">Linked from Show Income</t>
  </si>
  <si>
    <t xml:space="preserve">Merchandise margin</t>
  </si>
  <si>
    <t xml:space="preserve">Linked from Merch</t>
  </si>
  <si>
    <t xml:space="preserve">Funding requested</t>
  </si>
  <si>
    <t xml:space="preserve">Linked from Assumptions</t>
  </si>
  <si>
    <t xml:space="preserve">Artist contribution</t>
  </si>
  <si>
    <t xml:space="preserve">Other confirmed funding</t>
  </si>
  <si>
    <t xml:space="preserve">Sponsorship</t>
  </si>
  <si>
    <t xml:space="preserve">Other income</t>
  </si>
  <si>
    <t xml:space="preserve">TOTAL INCOME</t>
  </si>
  <si>
    <t xml:space="preserve">EXPENDITURE</t>
  </si>
  <si>
    <t xml:space="preserve">Description / Supplier</t>
  </si>
  <si>
    <t xml:space="preserve">Unit Cost (£)</t>
  </si>
  <si>
    <t xml:space="preserve">Net Cost (£)</t>
  </si>
  <si>
    <t xml:space="preserve">Quote / Notes</t>
  </si>
  <si>
    <t xml:space="preserve">Tour manager</t>
  </si>
  <si>
    <t xml:space="preserve">Driver</t>
  </si>
  <si>
    <t xml:space="preserve">Other crew</t>
  </si>
  <si>
    <t xml:space="preserve">Artist / musician fees</t>
  </si>
  <si>
    <t xml:space="preserve">Van hire / vehicle</t>
  </si>
  <si>
    <t xml:space="preserve">Trailer</t>
  </si>
  <si>
    <t xml:space="preserve">Fuel</t>
  </si>
  <si>
    <t xml:space="preserve">Parking / tolls</t>
  </si>
  <si>
    <t xml:space="preserve">Ferries / flights / rail</t>
  </si>
  <si>
    <t xml:space="preserve">Accommodation</t>
  </si>
  <si>
    <t xml:space="preserve">Subsistence / per diems</t>
  </si>
  <si>
    <t xml:space="preserve">Rehearsal space</t>
  </si>
  <si>
    <t xml:space="preserve">Production / equipment hire</t>
  </si>
  <si>
    <t xml:space="preserve">Backline</t>
  </si>
  <si>
    <t xml:space="preserve">Insurance</t>
  </si>
  <si>
    <t xml:space="preserve">Marketing / PR</t>
  </si>
  <si>
    <t xml:space="preserve">Merch production</t>
  </si>
  <si>
    <t xml:space="preserve">Access costs</t>
  </si>
  <si>
    <t xml:space="preserve">Visas / permits</t>
  </si>
  <si>
    <t xml:space="preserve">Accountancy / admin</t>
  </si>
  <si>
    <t xml:space="preserve">Other</t>
  </si>
  <si>
    <t xml:space="preserve">Contingency</t>
  </si>
  <si>
    <t xml:space="preserve">Linked to Assumptions</t>
  </si>
  <si>
    <t xml:space="preserve">TOTAL COST</t>
  </si>
  <si>
    <t xml:space="preserve">TOUR POSITION</t>
  </si>
  <si>
    <t xml:space="preserve">Total income</t>
  </si>
  <si>
    <t xml:space="preserve">Total cost</t>
  </si>
  <si>
    <t xml:space="preserve">Surplus / (Shortfall)</t>
  </si>
  <si>
    <t xml:space="preserve">Cost per show</t>
  </si>
  <si>
    <t xml:space="preserve">Income per show</t>
  </si>
  <si>
    <t xml:space="preserve">SHOW INCOME</t>
  </si>
  <si>
    <t xml:space="preserve">Enter one line per show. Use confirmed, provisional or estimated status.</t>
  </si>
  <si>
    <t xml:space="preserve">Date</t>
  </si>
  <si>
    <t xml:space="preserve">Venue</t>
  </si>
  <si>
    <t xml:space="preserve">Town / City</t>
  </si>
  <si>
    <t xml:space="preserve">Capacity</t>
  </si>
  <si>
    <t xml:space="preserve">Deal Type</t>
  </si>
  <si>
    <t xml:space="preserve">Guarantee (£)</t>
  </si>
  <si>
    <t xml:space="preserve">Ticket Price (£)</t>
  </si>
  <si>
    <t xml:space="preserve">Expected Paid</t>
  </si>
  <si>
    <t xml:space="preserve">Gross Ticket Income (£)</t>
  </si>
  <si>
    <t xml:space="preserve">Expected Artist Income (£)</t>
  </si>
  <si>
    <t xml:space="preserve">TOTAL</t>
  </si>
  <si>
    <t xml:space="preserve">MERCHANDISE</t>
  </si>
  <si>
    <t xml:space="preserve">Estimate income, venue commission and cost of stock sold.</t>
  </si>
  <si>
    <t xml:space="preserve">Item</t>
  </si>
  <si>
    <t xml:space="preserve">Opening Stock</t>
  </si>
  <si>
    <t xml:space="preserve">Sale Price (£)</t>
  </si>
  <si>
    <t xml:space="preserve">Expected Units Sold</t>
  </si>
  <si>
    <t xml:space="preserve">Gross Sales (£)</t>
  </si>
  <si>
    <t xml:space="preserve">Venue Commission %</t>
  </si>
  <si>
    <t xml:space="preserve">Net Sales (£)</t>
  </si>
  <si>
    <t xml:space="preserve">Gross Margin (£)</t>
  </si>
  <si>
    <t xml:space="preserve">TOUR CASHFLOW</t>
  </si>
  <si>
    <t xml:space="preserve">Record when money is expected in and out, not only the final budget.</t>
  </si>
  <si>
    <t xml:space="preserve">Type</t>
  </si>
  <si>
    <t xml:space="preserve">Description</t>
  </si>
  <si>
    <t xml:space="preserve">Expected In (£)</t>
  </si>
  <si>
    <t xml:space="preserve">Expected Out (£)</t>
  </si>
  <si>
    <t xml:space="preserve">Running Balance (£)</t>
  </si>
  <si>
    <t xml:space="preserve">Tour controls and assumptions. Blue cells are inputs.</t>
  </si>
  <si>
    <t xml:space="preserve">TOUR DETAILS</t>
  </si>
  <si>
    <t xml:space="preserve">Artist / band</t>
  </si>
  <si>
    <t xml:space="preserve">Tour name</t>
  </si>
  <si>
    <t xml:space="preserve">Prepared by</t>
  </si>
  <si>
    <t xml:space="preserve">Tour start</t>
  </si>
  <si>
    <t xml:space="preserve">Tour end</t>
  </si>
  <si>
    <t xml:space="preserve">Currency</t>
  </si>
  <si>
    <t xml:space="preserve">GBP</t>
  </si>
  <si>
    <t xml:space="preserve">Contingency %</t>
  </si>
  <si>
    <t xml:space="preserve">VAT registered?</t>
  </si>
  <si>
    <t xml:space="preserve">No</t>
  </si>
  <si>
    <t xml:space="preserve">HOW TO USE THIS TEMPLATE</t>
  </si>
  <si>
    <t xml:space="preserve">A practical starting point, not accountancy or tax advice.</t>
  </si>
  <si>
    <t xml:space="preserve">WORKFLOW</t>
  </si>
  <si>
    <t xml:space="preserve">Complete the Assumptions sheet first.</t>
  </si>
  <si>
    <t xml:space="preserve">Add each show to Show Income and choose the expected deal type.</t>
  </si>
  <si>
    <t xml:space="preserve">Add merchandise assumptions if merch is part of the plan.</t>
  </si>
  <si>
    <t xml:space="preserve">Complete the expenditure section using quotes where possible.</t>
  </si>
  <si>
    <t xml:space="preserve">Review the surplus or shortfall before confirming the tour.</t>
  </si>
  <si>
    <t xml:space="preserve">Use Cashflow to understand when deposits, hotels, fuel and fees have to be paid.</t>
  </si>
  <si>
    <t xml:space="preserve">Keep evidence links or quote references beside significant costs.</t>
  </si>
  <si>
    <t xml:space="preserve">Update estimated items as they become confirmed.</t>
  </si>
  <si>
    <t xml:space="preserve">COLOUR KEY</t>
  </si>
  <si>
    <t xml:space="preserve">Blue text</t>
  </si>
  <si>
    <t xml:space="preserve">User input</t>
  </si>
  <si>
    <t xml:space="preserve">Black text</t>
  </si>
  <si>
    <t xml:space="preserve">Formula / calculated value</t>
  </si>
  <si>
    <t xml:space="preserve">Green text</t>
  </si>
  <si>
    <t xml:space="preserve">Linked from another worksheet</t>
  </si>
  <si>
    <t xml:space="preserve">Orange fill</t>
  </si>
  <si>
    <t xml:space="preserve">Review or caution</t>
  </si>
  <si>
    <t xml:space="preserve">Light red fill</t>
  </si>
  <si>
    <t xml:space="preserve">Error or adverse position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</si>
</sst>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;[RED]&quot;(£&quot;#,##0.00\);\-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DCFF31"/>
      <name val="Aptos Display"/>
      <family val="0"/>
      <charset val="1"/>
    </font>
    <font>
      <sz val="10"/>
      <color rgb="FFFFFFFF"/>
      <name val="Aptos"/>
      <family val="0"/>
      <charset val="1"/>
    </font>
    <font>
      <b val="true"/>
      <sz val="9"/>
      <color rgb="FF666666"/>
      <name val="Aptos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111318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111318"/>
      <name val="Cambria"/>
      <family val="0"/>
      <charset val="1"/>
    </font>
    <font>
      <b val="true"/>
      <sz val="11"/>
      <color rgb="FF66666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318"/>
        <bgColor rgb="FF191C22"/>
      </patternFill>
    </fill>
    <fill>
      <patternFill patternType="solid">
        <fgColor rgb="FF191C22"/>
        <bgColor rgb="FF111318"/>
      </patternFill>
    </fill>
    <fill>
      <patternFill patternType="solid">
        <fgColor rgb="FFDCFF31"/>
        <bgColor rgb="FFFFFF00"/>
      </patternFill>
    </fill>
    <fill>
      <patternFill patternType="solid">
        <fgColor rgb="FFF7F9F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91C22"/>
          <bgColor rgb="FF000000"/>
        </patternFill>
      </fill>
    </dxf>
    <dxf>
      <fill>
        <patternFill patternType="solid">
          <fgColor rgb="FFDCFF3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318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CFF3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318"/>
      <rgbColor rgb="FF333300"/>
      <rgbColor rgb="FF993300"/>
      <rgbColor rgb="FF993366"/>
      <rgbColor rgb="FF333399"/>
      <rgbColor rgb="FF191C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1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32"/>
    <col collapsed="false" customWidth="true" hidden="false" outlineLevel="0" max="8" min="8" style="0" width="18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2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customFormat="false" ht="15" hidden="false" customHeight="false" outlineLevel="0" collapsed="false">
      <c r="A7" s="0" t="s">
        <v>12</v>
      </c>
      <c r="B7" s="6" t="s">
        <v>13</v>
      </c>
      <c r="C7" s="6"/>
      <c r="D7" s="6"/>
      <c r="E7" s="6"/>
      <c r="F7" s="7" t="e">
        <f aca="false">"Show Income"!J36</f>
        <v>#VALUE!</v>
      </c>
      <c r="G7" s="6"/>
      <c r="H7" s="6"/>
    </row>
    <row r="8" customFormat="false" ht="15" hidden="false" customHeight="false" outlineLevel="0" collapsed="false">
      <c r="A8" s="0" t="s">
        <v>14</v>
      </c>
      <c r="B8" s="6" t="s">
        <v>15</v>
      </c>
      <c r="C8" s="6"/>
      <c r="D8" s="6"/>
      <c r="E8" s="6"/>
      <c r="F8" s="7" t="n">
        <f aca="false">Merch!I26</f>
        <v>0</v>
      </c>
      <c r="G8" s="6"/>
      <c r="H8" s="6"/>
    </row>
    <row r="9" customFormat="false" ht="15" hidden="false" customHeight="false" outlineLevel="0" collapsed="false">
      <c r="A9" s="0" t="s">
        <v>16</v>
      </c>
      <c r="B9" s="6" t="s">
        <v>17</v>
      </c>
      <c r="C9" s="6"/>
      <c r="D9" s="6"/>
      <c r="E9" s="6"/>
      <c r="F9" s="7" t="n">
        <f aca="false">Assumptions!B14</f>
        <v>0</v>
      </c>
      <c r="G9" s="6"/>
      <c r="H9" s="6"/>
    </row>
    <row r="10" customFormat="false" ht="15" hidden="false" customHeight="false" outlineLevel="0" collapsed="false">
      <c r="A10" s="0" t="s">
        <v>18</v>
      </c>
      <c r="B10" s="6" t="s">
        <v>17</v>
      </c>
      <c r="C10" s="6"/>
      <c r="D10" s="6"/>
      <c r="E10" s="6"/>
      <c r="F10" s="7" t="n">
        <f aca="false">Assumptions!B15</f>
        <v>0</v>
      </c>
      <c r="G10" s="6"/>
      <c r="H10" s="6"/>
    </row>
    <row r="11" customFormat="false" ht="15" hidden="false" customHeight="false" outlineLevel="0" collapsed="false">
      <c r="A11" s="0" t="s">
        <v>19</v>
      </c>
      <c r="B11" s="6" t="s">
        <v>17</v>
      </c>
      <c r="C11" s="6"/>
      <c r="D11" s="6"/>
      <c r="E11" s="6"/>
      <c r="F11" s="7" t="n">
        <f aca="false">Assumptions!B16</f>
        <v>0</v>
      </c>
      <c r="G11" s="6"/>
      <c r="H11" s="6"/>
    </row>
    <row r="12" customFormat="false" ht="15" hidden="false" customHeight="false" outlineLevel="0" collapsed="false">
      <c r="A12" s="0" t="s">
        <v>20</v>
      </c>
      <c r="B12" s="6"/>
      <c r="C12" s="6"/>
      <c r="D12" s="6"/>
      <c r="E12" s="6"/>
      <c r="F12" s="8"/>
      <c r="G12" s="6"/>
      <c r="H12" s="6"/>
    </row>
    <row r="13" customFormat="false" ht="15" hidden="false" customHeight="false" outlineLevel="0" collapsed="false">
      <c r="A13" s="0" t="s">
        <v>21</v>
      </c>
      <c r="B13" s="6"/>
      <c r="C13" s="6"/>
      <c r="D13" s="6"/>
      <c r="E13" s="6"/>
      <c r="F13" s="8"/>
      <c r="G13" s="6"/>
      <c r="H13" s="6"/>
    </row>
    <row r="14" customFormat="false" ht="15" hidden="false" customHeight="false" outlineLevel="0" collapsed="false">
      <c r="E14" s="9" t="s">
        <v>22</v>
      </c>
      <c r="F14" s="10" t="e">
        <f aca="false">SUM(F7:F13)</f>
        <v>#VALUE!</v>
      </c>
    </row>
    <row r="16" customFormat="false" ht="22.5" hidden="false" customHeight="true" outlineLevel="0" collapsed="false">
      <c r="A16" s="4" t="s">
        <v>23</v>
      </c>
      <c r="B16" s="4"/>
      <c r="C16" s="4"/>
      <c r="D16" s="4"/>
      <c r="E16" s="4"/>
      <c r="F16" s="4"/>
      <c r="G16" s="4"/>
      <c r="H16" s="4"/>
    </row>
    <row r="17" customFormat="false" ht="30" hidden="false" customHeight="true" outlineLevel="0" collapsed="false">
      <c r="A17" s="5" t="s">
        <v>4</v>
      </c>
      <c r="B17" s="5" t="s">
        <v>24</v>
      </c>
      <c r="C17" s="5" t="s">
        <v>6</v>
      </c>
      <c r="D17" s="5" t="s">
        <v>7</v>
      </c>
      <c r="E17" s="5" t="s">
        <v>25</v>
      </c>
      <c r="F17" s="5" t="s">
        <v>26</v>
      </c>
      <c r="G17" s="5" t="s">
        <v>27</v>
      </c>
      <c r="H17" s="5" t="s">
        <v>11</v>
      </c>
    </row>
    <row r="18" customFormat="false" ht="15" hidden="false" customHeight="false" outlineLevel="0" collapsed="false">
      <c r="A18" s="11" t="s">
        <v>28</v>
      </c>
      <c r="B18" s="6"/>
      <c r="C18" s="6"/>
      <c r="D18" s="6"/>
      <c r="E18" s="6"/>
      <c r="F18" s="12" t="n">
        <f aca="false">IF(OR(D18="",E18=""),0,D18*E18)</f>
        <v>0</v>
      </c>
      <c r="G18" s="6"/>
      <c r="H18" s="6"/>
    </row>
    <row r="19" customFormat="false" ht="15" hidden="false" customHeight="false" outlineLevel="0" collapsed="false">
      <c r="A19" s="11" t="s">
        <v>29</v>
      </c>
      <c r="B19" s="6"/>
      <c r="C19" s="6"/>
      <c r="D19" s="6"/>
      <c r="E19" s="6"/>
      <c r="F19" s="12" t="n">
        <f aca="false">IF(OR(D19="",E19=""),0,D19*E19)</f>
        <v>0</v>
      </c>
      <c r="G19" s="6"/>
      <c r="H19" s="6"/>
    </row>
    <row r="20" customFormat="false" ht="15" hidden="false" customHeight="false" outlineLevel="0" collapsed="false">
      <c r="A20" s="11" t="s">
        <v>30</v>
      </c>
      <c r="B20" s="6"/>
      <c r="C20" s="6"/>
      <c r="D20" s="6"/>
      <c r="E20" s="6"/>
      <c r="F20" s="12" t="n">
        <f aca="false">IF(OR(D20="",E20=""),0,D20*E20)</f>
        <v>0</v>
      </c>
      <c r="G20" s="6"/>
      <c r="H20" s="6"/>
    </row>
    <row r="21" customFormat="false" ht="15" hidden="false" customHeight="false" outlineLevel="0" collapsed="false">
      <c r="A21" s="11" t="s">
        <v>31</v>
      </c>
      <c r="B21" s="6"/>
      <c r="C21" s="6"/>
      <c r="D21" s="6"/>
      <c r="E21" s="6"/>
      <c r="F21" s="12" t="n">
        <f aca="false">IF(OR(D21="",E21=""),0,D21*E21)</f>
        <v>0</v>
      </c>
      <c r="G21" s="6"/>
      <c r="H21" s="6"/>
    </row>
    <row r="22" customFormat="false" ht="15" hidden="false" customHeight="false" outlineLevel="0" collapsed="false">
      <c r="A22" s="11" t="s">
        <v>32</v>
      </c>
      <c r="B22" s="6"/>
      <c r="C22" s="6"/>
      <c r="D22" s="6"/>
      <c r="E22" s="6"/>
      <c r="F22" s="12" t="n">
        <f aca="false">IF(OR(D22="",E22=""),0,D22*E22)</f>
        <v>0</v>
      </c>
      <c r="G22" s="6"/>
      <c r="H22" s="6"/>
    </row>
    <row r="23" customFormat="false" ht="15" hidden="false" customHeight="false" outlineLevel="0" collapsed="false">
      <c r="A23" s="11" t="s">
        <v>33</v>
      </c>
      <c r="B23" s="6"/>
      <c r="C23" s="6"/>
      <c r="D23" s="6"/>
      <c r="E23" s="6"/>
      <c r="F23" s="12" t="n">
        <f aca="false">IF(OR(D23="",E23=""),0,D23*E23)</f>
        <v>0</v>
      </c>
      <c r="G23" s="6"/>
      <c r="H23" s="6"/>
    </row>
    <row r="24" customFormat="false" ht="15" hidden="false" customHeight="false" outlineLevel="0" collapsed="false">
      <c r="A24" s="11" t="s">
        <v>34</v>
      </c>
      <c r="B24" s="6"/>
      <c r="C24" s="6"/>
      <c r="D24" s="6"/>
      <c r="E24" s="6"/>
      <c r="F24" s="12" t="n">
        <f aca="false">IF(OR(D24="",E24=""),0,D24*E24)</f>
        <v>0</v>
      </c>
      <c r="G24" s="6"/>
      <c r="H24" s="6"/>
    </row>
    <row r="25" customFormat="false" ht="15" hidden="false" customHeight="false" outlineLevel="0" collapsed="false">
      <c r="A25" s="11" t="s">
        <v>35</v>
      </c>
      <c r="B25" s="6"/>
      <c r="C25" s="6"/>
      <c r="D25" s="6"/>
      <c r="E25" s="6"/>
      <c r="F25" s="12" t="n">
        <f aca="false">IF(OR(D25="",E25=""),0,D25*E25)</f>
        <v>0</v>
      </c>
      <c r="G25" s="6"/>
      <c r="H25" s="6"/>
    </row>
    <row r="26" customFormat="false" ht="15" hidden="false" customHeight="false" outlineLevel="0" collapsed="false">
      <c r="A26" s="11" t="s">
        <v>36</v>
      </c>
      <c r="B26" s="6"/>
      <c r="C26" s="6"/>
      <c r="D26" s="6"/>
      <c r="E26" s="6"/>
      <c r="F26" s="12" t="n">
        <f aca="false">IF(OR(D26="",E26=""),0,D26*E26)</f>
        <v>0</v>
      </c>
      <c r="G26" s="6"/>
      <c r="H26" s="6"/>
    </row>
    <row r="27" customFormat="false" ht="15" hidden="false" customHeight="false" outlineLevel="0" collapsed="false">
      <c r="A27" s="11" t="s">
        <v>37</v>
      </c>
      <c r="B27" s="6"/>
      <c r="C27" s="6"/>
      <c r="D27" s="6"/>
      <c r="E27" s="6"/>
      <c r="F27" s="12" t="n">
        <f aca="false">IF(OR(D27="",E27=""),0,D27*E27)</f>
        <v>0</v>
      </c>
      <c r="G27" s="6"/>
      <c r="H27" s="6"/>
    </row>
    <row r="28" customFormat="false" ht="15" hidden="false" customHeight="false" outlineLevel="0" collapsed="false">
      <c r="A28" s="11" t="s">
        <v>38</v>
      </c>
      <c r="B28" s="6"/>
      <c r="C28" s="6"/>
      <c r="D28" s="6"/>
      <c r="E28" s="6"/>
      <c r="F28" s="12" t="n">
        <f aca="false">IF(OR(D28="",E28=""),0,D28*E28)</f>
        <v>0</v>
      </c>
      <c r="G28" s="6"/>
      <c r="H28" s="6"/>
    </row>
    <row r="29" customFormat="false" ht="15" hidden="false" customHeight="false" outlineLevel="0" collapsed="false">
      <c r="A29" s="11" t="s">
        <v>39</v>
      </c>
      <c r="B29" s="6"/>
      <c r="C29" s="6"/>
      <c r="D29" s="6"/>
      <c r="E29" s="6"/>
      <c r="F29" s="12" t="n">
        <f aca="false">IF(OR(D29="",E29=""),0,D29*E29)</f>
        <v>0</v>
      </c>
      <c r="G29" s="6"/>
      <c r="H29" s="6"/>
    </row>
    <row r="30" customFormat="false" ht="15" hidden="false" customHeight="false" outlineLevel="0" collapsed="false">
      <c r="A30" s="11" t="s">
        <v>40</v>
      </c>
      <c r="B30" s="6"/>
      <c r="C30" s="6"/>
      <c r="D30" s="6"/>
      <c r="E30" s="6"/>
      <c r="F30" s="12" t="n">
        <f aca="false">IF(OR(D30="",E30=""),0,D30*E30)</f>
        <v>0</v>
      </c>
      <c r="G30" s="6"/>
      <c r="H30" s="6"/>
    </row>
    <row r="31" customFormat="false" ht="15" hidden="false" customHeight="false" outlineLevel="0" collapsed="false">
      <c r="A31" s="11" t="s">
        <v>41</v>
      </c>
      <c r="B31" s="6"/>
      <c r="C31" s="6"/>
      <c r="D31" s="6"/>
      <c r="E31" s="6"/>
      <c r="F31" s="12" t="n">
        <f aca="false">IF(OR(D31="",E31=""),0,D31*E31)</f>
        <v>0</v>
      </c>
      <c r="G31" s="6"/>
      <c r="H31" s="6"/>
    </row>
    <row r="32" customFormat="false" ht="15" hidden="false" customHeight="false" outlineLevel="0" collapsed="false">
      <c r="A32" s="11" t="s">
        <v>42</v>
      </c>
      <c r="B32" s="6"/>
      <c r="C32" s="6"/>
      <c r="D32" s="6"/>
      <c r="E32" s="6"/>
      <c r="F32" s="12" t="n">
        <f aca="false">IF(OR(D32="",E32=""),0,D32*E32)</f>
        <v>0</v>
      </c>
      <c r="G32" s="6"/>
      <c r="H32" s="6"/>
    </row>
    <row r="33" customFormat="false" ht="15" hidden="false" customHeight="false" outlineLevel="0" collapsed="false">
      <c r="A33" s="11" t="s">
        <v>43</v>
      </c>
      <c r="B33" s="6"/>
      <c r="C33" s="6"/>
      <c r="D33" s="6"/>
      <c r="E33" s="6"/>
      <c r="F33" s="12" t="n">
        <f aca="false">IF(OR(D33="",E33=""),0,D33*E33)</f>
        <v>0</v>
      </c>
      <c r="G33" s="6"/>
      <c r="H33" s="6"/>
    </row>
    <row r="34" customFormat="false" ht="15" hidden="false" customHeight="false" outlineLevel="0" collapsed="false">
      <c r="A34" s="11" t="s">
        <v>44</v>
      </c>
      <c r="B34" s="6"/>
      <c r="C34" s="6"/>
      <c r="D34" s="6"/>
      <c r="E34" s="6"/>
      <c r="F34" s="12" t="n">
        <f aca="false">IF(OR(D34="",E34=""),0,D34*E34)</f>
        <v>0</v>
      </c>
      <c r="G34" s="6"/>
      <c r="H34" s="6"/>
    </row>
    <row r="35" customFormat="false" ht="15" hidden="false" customHeight="false" outlineLevel="0" collapsed="false">
      <c r="A35" s="11" t="s">
        <v>45</v>
      </c>
      <c r="B35" s="6"/>
      <c r="C35" s="6"/>
      <c r="D35" s="6"/>
      <c r="E35" s="6"/>
      <c r="F35" s="12" t="n">
        <f aca="false">IF(OR(D35="",E35=""),0,D35*E35)</f>
        <v>0</v>
      </c>
      <c r="G35" s="6"/>
      <c r="H35" s="6"/>
    </row>
    <row r="36" customFormat="false" ht="15" hidden="false" customHeight="false" outlineLevel="0" collapsed="false">
      <c r="A36" s="11" t="s">
        <v>46</v>
      </c>
      <c r="B36" s="6"/>
      <c r="C36" s="6"/>
      <c r="D36" s="6"/>
      <c r="E36" s="6"/>
      <c r="F36" s="12" t="n">
        <f aca="false">IF(OR(D36="",E36=""),0,D36*E36)</f>
        <v>0</v>
      </c>
      <c r="G36" s="6"/>
      <c r="H36" s="6"/>
    </row>
    <row r="37" customFormat="false" ht="15" hidden="false" customHeight="false" outlineLevel="0" collapsed="false">
      <c r="A37" s="11" t="s">
        <v>47</v>
      </c>
      <c r="B37" s="6"/>
      <c r="C37" s="6"/>
      <c r="D37" s="6"/>
      <c r="E37" s="6"/>
      <c r="F37" s="12" t="n">
        <f aca="false">IF(OR(D37="",E37=""),0,D37*E37)</f>
        <v>0</v>
      </c>
      <c r="G37" s="6"/>
      <c r="H37" s="6"/>
    </row>
    <row r="38" customFormat="false" ht="15" hidden="false" customHeight="false" outlineLevel="0" collapsed="false">
      <c r="A38" s="11" t="s">
        <v>48</v>
      </c>
      <c r="B38" s="6"/>
      <c r="C38" s="6"/>
      <c r="D38" s="6"/>
      <c r="E38" s="6"/>
      <c r="F38" s="12" t="n">
        <f aca="false">IF(OR(D38="",E38=""),0,D38*E38)</f>
        <v>0</v>
      </c>
      <c r="G38" s="6"/>
      <c r="H38" s="6"/>
    </row>
    <row r="39" customFormat="false" ht="15" hidden="false" customHeight="false" outlineLevel="0" collapsed="false">
      <c r="A39" s="0" t="s">
        <v>49</v>
      </c>
      <c r="B39" s="0" t="s">
        <v>50</v>
      </c>
      <c r="E39" s="7" t="n">
        <f aca="false">Assumptions!B12</f>
        <v>0.05</v>
      </c>
      <c r="F39" s="12" t="n">
        <f aca="false">SUM(F18:F38)*E39</f>
        <v>0</v>
      </c>
    </row>
    <row r="40" customFormat="false" ht="15" hidden="false" customHeight="false" outlineLevel="0" collapsed="false">
      <c r="E40" s="9" t="s">
        <v>51</v>
      </c>
      <c r="F40" s="10" t="n">
        <f aca="false">SUM(F18:F39)</f>
        <v>0</v>
      </c>
    </row>
    <row r="42" customFormat="false" ht="22.5" hidden="false" customHeight="true" outlineLevel="0" collapsed="false">
      <c r="A42" s="4" t="s">
        <v>52</v>
      </c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9" t="s">
        <v>53</v>
      </c>
      <c r="B43" s="10" t="e">
        <f aca="false">F14</f>
        <v>#VALUE!</v>
      </c>
    </row>
    <row r="44" customFormat="false" ht="15" hidden="false" customHeight="false" outlineLevel="0" collapsed="false">
      <c r="A44" s="9" t="s">
        <v>54</v>
      </c>
      <c r="B44" s="10" t="n">
        <f aca="false">F40</f>
        <v>0</v>
      </c>
    </row>
    <row r="45" customFormat="false" ht="15" hidden="false" customHeight="false" outlineLevel="0" collapsed="false">
      <c r="A45" s="9" t="s">
        <v>55</v>
      </c>
      <c r="B45" s="10" t="e">
        <f aca="false">B43-B44</f>
        <v>#VALUE!</v>
      </c>
    </row>
    <row r="46" customFormat="false" ht="15" hidden="false" customHeight="false" outlineLevel="0" collapsed="false">
      <c r="A46" s="9" t="s">
        <v>56</v>
      </c>
      <c r="B46" s="10" t="n">
        <f aca="false">IF(COUNTA('Show Income'!A6:A35)=0,0,B44/COUNTA('Show Income'!A6:A35))</f>
        <v>0</v>
      </c>
    </row>
    <row r="47" customFormat="false" ht="15" hidden="false" customHeight="false" outlineLevel="0" collapsed="false">
      <c r="A47" s="9" t="s">
        <v>57</v>
      </c>
      <c r="B47" s="10" t="n">
        <f aca="false">IF(COUNTA('Show Income'!A6:A35)=0,0,B43/COUNTA('Show Income'!A6:A35))</f>
        <v>0</v>
      </c>
    </row>
  </sheetData>
  <autoFilter ref="A17:H38"/>
  <mergeCells count="6">
    <mergeCell ref="A1:H1"/>
    <mergeCell ref="A2:H2"/>
    <mergeCell ref="A3:H3"/>
    <mergeCell ref="A5:H5"/>
    <mergeCell ref="A16:H16"/>
    <mergeCell ref="A42:H42"/>
  </mergeCells>
  <conditionalFormatting sqref="B45">
    <cfRule type="expression" priority="2" aboveAverage="0" equalAverage="0" bottom="0" percent="0" rank="0" text="" dxfId="7">
      <formula>B45&lt;0</formula>
    </cfRule>
  </conditionalFormatting>
  <dataValidations count="1">
    <dataValidation allowBlank="false" errorStyle="stop" operator="between" showDropDown="false" showErrorMessage="false" showInputMessage="false" sqref="C7:C13 C18:C38" type="list">
      <formula1>"Confirmed,Provisional,Estimated,Requested"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OFFICIAL | TM360°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9"/>
    <col collapsed="false" customWidth="true" hidden="false" outlineLevel="0" max="8" min="6" style="0" width="1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4"/>
  </cols>
  <sheetData>
    <row r="1" customFormat="false" ht="42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30" hidden="false" customHeight="true" outlineLevel="0" collapsed="false">
      <c r="A5" s="5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65</v>
      </c>
      <c r="G5" s="5" t="s">
        <v>66</v>
      </c>
      <c r="H5" s="5" t="s">
        <v>67</v>
      </c>
      <c r="I5" s="5" t="s">
        <v>68</v>
      </c>
      <c r="J5" s="5" t="s">
        <v>69</v>
      </c>
      <c r="K5" s="5" t="s">
        <v>6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12" t="n">
        <f aca="false">IF(OR(G6="",H6=""),0,G6*H6)</f>
        <v>0</v>
      </c>
      <c r="J6" s="12" t="n">
        <f aca="false">IF(E6="Door Split",I6,IF(E6="Guarantee + Split",F6+I6,F6))</f>
        <v>0</v>
      </c>
      <c r="K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12" t="n">
        <f aca="false">IF(OR(G7="",H7=""),0,G7*H7)</f>
        <v>0</v>
      </c>
      <c r="J7" s="12" t="n">
        <f aca="false">IF(E7="Door Split",I7,IF(E7="Guarantee + Split",F7+I7,F7))</f>
        <v>0</v>
      </c>
      <c r="K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12" t="n">
        <f aca="false">IF(OR(G8="",H8=""),0,G8*H8)</f>
        <v>0</v>
      </c>
      <c r="J8" s="12" t="n">
        <f aca="false">IF(E8="Door Split",I8,IF(E8="Guarantee + Split",F8+I8,F8))</f>
        <v>0</v>
      </c>
      <c r="K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12" t="n">
        <f aca="false">IF(OR(G9="",H9=""),0,G9*H9)</f>
        <v>0</v>
      </c>
      <c r="J9" s="12" t="n">
        <f aca="false">IF(E9="Door Split",I9,IF(E9="Guarantee + Split",F9+I9,F9))</f>
        <v>0</v>
      </c>
      <c r="K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12" t="n">
        <f aca="false">IF(OR(G10="",H10=""),0,G10*H10)</f>
        <v>0</v>
      </c>
      <c r="J10" s="12" t="n">
        <f aca="false">IF(E10="Door Split",I10,IF(E10="Guarantee + Split",F10+I10,F10))</f>
        <v>0</v>
      </c>
      <c r="K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12" t="n">
        <f aca="false">IF(OR(G11="",H11=""),0,G11*H11)</f>
        <v>0</v>
      </c>
      <c r="J11" s="12" t="n">
        <f aca="false">IF(E11="Door Split",I11,IF(E11="Guarantee + Split",F11+I11,F11))</f>
        <v>0</v>
      </c>
      <c r="K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12" t="n">
        <f aca="false">IF(OR(G12="",H12=""),0,G12*H12)</f>
        <v>0</v>
      </c>
      <c r="J12" s="12" t="n">
        <f aca="false">IF(E12="Door Split",I12,IF(E12="Guarantee + Split",F12+I12,F12))</f>
        <v>0</v>
      </c>
      <c r="K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12" t="n">
        <f aca="false">IF(OR(G13="",H13=""),0,G13*H13)</f>
        <v>0</v>
      </c>
      <c r="J13" s="12" t="n">
        <f aca="false">IF(E13="Door Split",I13,IF(E13="Guarantee + Split",F13+I13,F13))</f>
        <v>0</v>
      </c>
      <c r="K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12" t="n">
        <f aca="false">IF(OR(G14="",H14=""),0,G14*H14)</f>
        <v>0</v>
      </c>
      <c r="J14" s="12" t="n">
        <f aca="false">IF(E14="Door Split",I14,IF(E14="Guarantee + Split",F14+I14,F14))</f>
        <v>0</v>
      </c>
      <c r="K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12" t="n">
        <f aca="false">IF(OR(G15="",H15=""),0,G15*H15)</f>
        <v>0</v>
      </c>
      <c r="J15" s="12" t="n">
        <f aca="false">IF(E15="Door Split",I15,IF(E15="Guarantee + Split",F15+I15,F15))</f>
        <v>0</v>
      </c>
      <c r="K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12" t="n">
        <f aca="false">IF(OR(G16="",H16=""),0,G16*H16)</f>
        <v>0</v>
      </c>
      <c r="J16" s="12" t="n">
        <f aca="false">IF(E16="Door Split",I16,IF(E16="Guarantee + Split",F16+I16,F16))</f>
        <v>0</v>
      </c>
      <c r="K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12" t="n">
        <f aca="false">IF(OR(G17="",H17=""),0,G17*H17)</f>
        <v>0</v>
      </c>
      <c r="J17" s="12" t="n">
        <f aca="false">IF(E17="Door Split",I17,IF(E17="Guarantee + Split",F17+I17,F17))</f>
        <v>0</v>
      </c>
      <c r="K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12" t="n">
        <f aca="false">IF(OR(G18="",H18=""),0,G18*H18)</f>
        <v>0</v>
      </c>
      <c r="J18" s="12" t="n">
        <f aca="false">IF(E18="Door Split",I18,IF(E18="Guarantee + Split",F18+I18,F18))</f>
        <v>0</v>
      </c>
      <c r="K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12" t="n">
        <f aca="false">IF(OR(G19="",H19=""),0,G19*H19)</f>
        <v>0</v>
      </c>
      <c r="J19" s="12" t="n">
        <f aca="false">IF(E19="Door Split",I19,IF(E19="Guarantee + Split",F19+I19,F19))</f>
        <v>0</v>
      </c>
      <c r="K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12" t="n">
        <f aca="false">IF(OR(G20="",H20=""),0,G20*H20)</f>
        <v>0</v>
      </c>
      <c r="J20" s="12" t="n">
        <f aca="false">IF(E20="Door Split",I20,IF(E20="Guarantee + Split",F20+I20,F20))</f>
        <v>0</v>
      </c>
      <c r="K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12" t="n">
        <f aca="false">IF(OR(G21="",H21=""),0,G21*H21)</f>
        <v>0</v>
      </c>
      <c r="J21" s="12" t="n">
        <f aca="false">IF(E21="Door Split",I21,IF(E21="Guarantee + Split",F21+I21,F21))</f>
        <v>0</v>
      </c>
      <c r="K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12" t="n">
        <f aca="false">IF(OR(G22="",H22=""),0,G22*H22)</f>
        <v>0</v>
      </c>
      <c r="J22" s="12" t="n">
        <f aca="false">IF(E22="Door Split",I22,IF(E22="Guarantee + Split",F22+I22,F22))</f>
        <v>0</v>
      </c>
      <c r="K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12" t="n">
        <f aca="false">IF(OR(G23="",H23=""),0,G23*H23)</f>
        <v>0</v>
      </c>
      <c r="J23" s="12" t="n">
        <f aca="false">IF(E23="Door Split",I23,IF(E23="Guarantee + Split",F23+I23,F23))</f>
        <v>0</v>
      </c>
      <c r="K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12" t="n">
        <f aca="false">IF(OR(G24="",H24=""),0,G24*H24)</f>
        <v>0</v>
      </c>
      <c r="J24" s="12" t="n">
        <f aca="false">IF(E24="Door Split",I24,IF(E24="Guarantee + Split",F24+I24,F24))</f>
        <v>0</v>
      </c>
      <c r="K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12" t="n">
        <f aca="false">IF(OR(G25="",H25=""),0,G25*H25)</f>
        <v>0</v>
      </c>
      <c r="J25" s="12" t="n">
        <f aca="false">IF(E25="Door Split",I25,IF(E25="Guarantee + Split",F25+I25,F25))</f>
        <v>0</v>
      </c>
      <c r="K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12" t="n">
        <f aca="false">IF(OR(G26="",H26=""),0,G26*H26)</f>
        <v>0</v>
      </c>
      <c r="J26" s="12" t="n">
        <f aca="false">IF(E26="Door Split",I26,IF(E26="Guarantee + Split",F26+I26,F26))</f>
        <v>0</v>
      </c>
      <c r="K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12" t="n">
        <f aca="false">IF(OR(G27="",H27=""),0,G27*H27)</f>
        <v>0</v>
      </c>
      <c r="J27" s="12" t="n">
        <f aca="false">IF(E27="Door Split",I27,IF(E27="Guarantee + Split",F27+I27,F27))</f>
        <v>0</v>
      </c>
      <c r="K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12" t="n">
        <f aca="false">IF(OR(G28="",H28=""),0,G28*H28)</f>
        <v>0</v>
      </c>
      <c r="J28" s="12" t="n">
        <f aca="false">IF(E28="Door Split",I28,IF(E28="Guarantee + Split",F28+I28,F28))</f>
        <v>0</v>
      </c>
      <c r="K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12" t="n">
        <f aca="false">IF(OR(G29="",H29=""),0,G29*H29)</f>
        <v>0</v>
      </c>
      <c r="J29" s="12" t="n">
        <f aca="false">IF(E29="Door Split",I29,IF(E29="Guarantee + Split",F29+I29,F29))</f>
        <v>0</v>
      </c>
      <c r="K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12" t="n">
        <f aca="false">IF(OR(G30="",H30=""),0,G30*H30)</f>
        <v>0</v>
      </c>
      <c r="J30" s="12" t="n">
        <f aca="false">IF(E30="Door Split",I30,IF(E30="Guarantee + Split",F30+I30,F30))</f>
        <v>0</v>
      </c>
      <c r="K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12" t="n">
        <f aca="false">IF(OR(G31="",H31=""),0,G31*H31)</f>
        <v>0</v>
      </c>
      <c r="J31" s="12" t="n">
        <f aca="false">IF(E31="Door Split",I31,IF(E31="Guarantee + Split",F31+I31,F31))</f>
        <v>0</v>
      </c>
      <c r="K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12" t="n">
        <f aca="false">IF(OR(G32="",H32=""),0,G32*H32)</f>
        <v>0</v>
      </c>
      <c r="J32" s="12" t="n">
        <f aca="false">IF(E32="Door Split",I32,IF(E32="Guarantee + Split",F32+I32,F32))</f>
        <v>0</v>
      </c>
      <c r="K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12" t="n">
        <f aca="false">IF(OR(G33="",H33=""),0,G33*H33)</f>
        <v>0</v>
      </c>
      <c r="J33" s="12" t="n">
        <f aca="false">IF(E33="Door Split",I33,IF(E33="Guarantee + Split",F33+I33,F33))</f>
        <v>0</v>
      </c>
      <c r="K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12" t="n">
        <f aca="false">IF(OR(G34="",H34=""),0,G34*H34)</f>
        <v>0</v>
      </c>
      <c r="J34" s="12" t="n">
        <f aca="false">IF(E34="Door Split",I34,IF(E34="Guarantee + Split",F34+I34,F34))</f>
        <v>0</v>
      </c>
      <c r="K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12" t="n">
        <f aca="false">IF(OR(G35="",H35=""),0,G35*H35)</f>
        <v>0</v>
      </c>
      <c r="J35" s="12" t="n">
        <f aca="false">IF(E35="Door Split",I35,IF(E35="Guarantee + Split",F35+I35,F35))</f>
        <v>0</v>
      </c>
      <c r="K35" s="6"/>
    </row>
    <row r="36" customFormat="false" ht="15" hidden="false" customHeight="false" outlineLevel="0" collapsed="false">
      <c r="H36" s="9" t="s">
        <v>70</v>
      </c>
      <c r="J36" s="10" t="n">
        <f aca="false">SUM(J6:J35)</f>
        <v>0</v>
      </c>
    </row>
  </sheetData>
  <autoFilter ref="A5:K35"/>
  <mergeCells count="3">
    <mergeCell ref="A1:K1"/>
    <mergeCell ref="A2:K2"/>
    <mergeCell ref="A3:K3"/>
  </mergeCells>
  <dataValidations count="2">
    <dataValidation allowBlank="false" errorStyle="stop" operator="between" showDropDown="false" showErrorMessage="false" showInputMessage="false" sqref="E6:E35" type="list">
      <formula1>"Guarantee,Door Split,Guarantee + Split,Festival Fee,Other"</formula1>
      <formula2>0</formula2>
    </dataValidation>
    <dataValidation allowBlank="false" errorStyle="stop" operator="between" showDropDown="false" showErrorMessage="false" showInputMessage="false" sqref="K6:K35" type="list">
      <formula1>"Confirmed,Provisional,Estimated,Cancelled"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OFFICIAL | TM360°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6"/>
  </cols>
  <sheetData>
    <row r="1" customFormat="false" ht="42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30" hidden="false" customHeight="true" outlineLevel="0" collapsed="false">
      <c r="A5" s="5" t="s">
        <v>73</v>
      </c>
      <c r="B5" s="5" t="s">
        <v>74</v>
      </c>
      <c r="C5" s="5" t="s">
        <v>25</v>
      </c>
      <c r="D5" s="5" t="s">
        <v>75</v>
      </c>
      <c r="E5" s="5" t="s">
        <v>76</v>
      </c>
      <c r="F5" s="5" t="s">
        <v>77</v>
      </c>
      <c r="G5" s="5" t="s">
        <v>78</v>
      </c>
      <c r="H5" s="5" t="s">
        <v>79</v>
      </c>
      <c r="I5" s="5" t="s">
        <v>80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12" t="n">
        <f aca="false">D6*E6</f>
        <v>0</v>
      </c>
      <c r="G6" s="13"/>
      <c r="H6" s="12" t="n">
        <f aca="false">F6*(1-G6)</f>
        <v>0</v>
      </c>
      <c r="I6" s="12" t="n">
        <f aca="false">H6-(C6*E6)</f>
        <v>0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12" t="n">
        <f aca="false">D7*E7</f>
        <v>0</v>
      </c>
      <c r="G7" s="13"/>
      <c r="H7" s="12" t="n">
        <f aca="false">F7*(1-G7)</f>
        <v>0</v>
      </c>
      <c r="I7" s="12" t="n">
        <f aca="false">H7-(C7*E7)</f>
        <v>0</v>
      </c>
    </row>
    <row r="8" customFormat="false" ht="15" hidden="false" customHeight="false" outlineLevel="0" collapsed="false">
      <c r="A8" s="6"/>
      <c r="B8" s="6"/>
      <c r="C8" s="6"/>
      <c r="D8" s="6"/>
      <c r="E8" s="6"/>
      <c r="F8" s="12" t="n">
        <f aca="false">D8*E8</f>
        <v>0</v>
      </c>
      <c r="G8" s="13"/>
      <c r="H8" s="12" t="n">
        <f aca="false">F8*(1-G8)</f>
        <v>0</v>
      </c>
      <c r="I8" s="12" t="n">
        <f aca="false">H8-(C8*E8)</f>
        <v>0</v>
      </c>
    </row>
    <row r="9" customFormat="false" ht="15" hidden="false" customHeight="false" outlineLevel="0" collapsed="false">
      <c r="A9" s="6"/>
      <c r="B9" s="6"/>
      <c r="C9" s="6"/>
      <c r="D9" s="6"/>
      <c r="E9" s="6"/>
      <c r="F9" s="12" t="n">
        <f aca="false">D9*E9</f>
        <v>0</v>
      </c>
      <c r="G9" s="13"/>
      <c r="H9" s="12" t="n">
        <f aca="false">F9*(1-G9)</f>
        <v>0</v>
      </c>
      <c r="I9" s="12" t="n">
        <f aca="false">H9-(C9*E9)</f>
        <v>0</v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12" t="n">
        <f aca="false">D10*E10</f>
        <v>0</v>
      </c>
      <c r="G10" s="13"/>
      <c r="H10" s="12" t="n">
        <f aca="false">F10*(1-G10)</f>
        <v>0</v>
      </c>
      <c r="I10" s="12" t="n">
        <f aca="false">H10-(C10*E10)</f>
        <v>0</v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12" t="n">
        <f aca="false">D11*E11</f>
        <v>0</v>
      </c>
      <c r="G11" s="13"/>
      <c r="H11" s="12" t="n">
        <f aca="false">F11*(1-G11)</f>
        <v>0</v>
      </c>
      <c r="I11" s="12" t="n">
        <f aca="false">H11-(C11*E11)</f>
        <v>0</v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12" t="n">
        <f aca="false">D12*E12</f>
        <v>0</v>
      </c>
      <c r="G12" s="13"/>
      <c r="H12" s="12" t="n">
        <f aca="false">F12*(1-G12)</f>
        <v>0</v>
      </c>
      <c r="I12" s="12" t="n">
        <f aca="false">H12-(C12*E12)</f>
        <v>0</v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12" t="n">
        <f aca="false">D13*E13</f>
        <v>0</v>
      </c>
      <c r="G13" s="13"/>
      <c r="H13" s="12" t="n">
        <f aca="false">F13*(1-G13)</f>
        <v>0</v>
      </c>
      <c r="I13" s="12" t="n">
        <f aca="false">H13-(C13*E13)</f>
        <v>0</v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12" t="n">
        <f aca="false">D14*E14</f>
        <v>0</v>
      </c>
      <c r="G14" s="13"/>
      <c r="H14" s="12" t="n">
        <f aca="false">F14*(1-G14)</f>
        <v>0</v>
      </c>
      <c r="I14" s="12" t="n">
        <f aca="false">H14-(C14*E14)</f>
        <v>0</v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12" t="n">
        <f aca="false">D15*E15</f>
        <v>0</v>
      </c>
      <c r="G15" s="13"/>
      <c r="H15" s="12" t="n">
        <f aca="false">F15*(1-G15)</f>
        <v>0</v>
      </c>
      <c r="I15" s="12" t="n">
        <f aca="false">H15-(C15*E15)</f>
        <v>0</v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12" t="n">
        <f aca="false">D16*E16</f>
        <v>0</v>
      </c>
      <c r="G16" s="13"/>
      <c r="H16" s="12" t="n">
        <f aca="false">F16*(1-G16)</f>
        <v>0</v>
      </c>
      <c r="I16" s="12" t="n">
        <f aca="false">H16-(C16*E16)</f>
        <v>0</v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12" t="n">
        <f aca="false">D17*E17</f>
        <v>0</v>
      </c>
      <c r="G17" s="13"/>
      <c r="H17" s="12" t="n">
        <f aca="false">F17*(1-G17)</f>
        <v>0</v>
      </c>
      <c r="I17" s="12" t="n">
        <f aca="false">H17-(C17*E17)</f>
        <v>0</v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12" t="n">
        <f aca="false">D18*E18</f>
        <v>0</v>
      </c>
      <c r="G18" s="13"/>
      <c r="H18" s="12" t="n">
        <f aca="false">F18*(1-G18)</f>
        <v>0</v>
      </c>
      <c r="I18" s="12" t="n">
        <f aca="false">H18-(C18*E18)</f>
        <v>0</v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12" t="n">
        <f aca="false">D19*E19</f>
        <v>0</v>
      </c>
      <c r="G19" s="13"/>
      <c r="H19" s="12" t="n">
        <f aca="false">F19*(1-G19)</f>
        <v>0</v>
      </c>
      <c r="I19" s="12" t="n">
        <f aca="false">H19-(C19*E19)</f>
        <v>0</v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12" t="n">
        <f aca="false">D20*E20</f>
        <v>0</v>
      </c>
      <c r="G20" s="13"/>
      <c r="H20" s="12" t="n">
        <f aca="false">F20*(1-G20)</f>
        <v>0</v>
      </c>
      <c r="I20" s="12" t="n">
        <f aca="false">H20-(C20*E20)</f>
        <v>0</v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12" t="n">
        <f aca="false">D21*E21</f>
        <v>0</v>
      </c>
      <c r="G21" s="13"/>
      <c r="H21" s="12" t="n">
        <f aca="false">F21*(1-G21)</f>
        <v>0</v>
      </c>
      <c r="I21" s="12" t="n">
        <f aca="false">H21-(C21*E21)</f>
        <v>0</v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12" t="n">
        <f aca="false">D22*E22</f>
        <v>0</v>
      </c>
      <c r="G22" s="13"/>
      <c r="H22" s="12" t="n">
        <f aca="false">F22*(1-G22)</f>
        <v>0</v>
      </c>
      <c r="I22" s="12" t="n">
        <f aca="false">H22-(C22*E22)</f>
        <v>0</v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12" t="n">
        <f aca="false">D23*E23</f>
        <v>0</v>
      </c>
      <c r="G23" s="13"/>
      <c r="H23" s="12" t="n">
        <f aca="false">F23*(1-G23)</f>
        <v>0</v>
      </c>
      <c r="I23" s="12" t="n">
        <f aca="false">H23-(C23*E23)</f>
        <v>0</v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12" t="n">
        <f aca="false">D24*E24</f>
        <v>0</v>
      </c>
      <c r="G24" s="13"/>
      <c r="H24" s="12" t="n">
        <f aca="false">F24*(1-G24)</f>
        <v>0</v>
      </c>
      <c r="I24" s="12" t="n">
        <f aca="false">H24-(C24*E24)</f>
        <v>0</v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12" t="n">
        <f aca="false">D25*E25</f>
        <v>0</v>
      </c>
      <c r="G25" s="13"/>
      <c r="H25" s="12" t="n">
        <f aca="false">F25*(1-G25)</f>
        <v>0</v>
      </c>
      <c r="I25" s="12" t="n">
        <f aca="false">H25-(C25*E25)</f>
        <v>0</v>
      </c>
    </row>
    <row r="26" customFormat="false" ht="15" hidden="false" customHeight="false" outlineLevel="0" collapsed="false">
      <c r="E26" s="9" t="s">
        <v>70</v>
      </c>
      <c r="F26" s="10" t="n">
        <f aca="false">SUM(F6:F25)</f>
        <v>0</v>
      </c>
      <c r="H26" s="10" t="n">
        <f aca="false">SUM(H6:H25)</f>
        <v>0</v>
      </c>
      <c r="I26" s="10" t="n">
        <f aca="false">SUM(I6:I25)</f>
        <v>0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OFFICIAL | TM360°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31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5"/>
  </cols>
  <sheetData>
    <row r="1" customFormat="false" ht="42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82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30" hidden="false" customHeight="true" outlineLevel="0" collapsed="false">
      <c r="A5" s="5" t="s">
        <v>60</v>
      </c>
      <c r="B5" s="5" t="s">
        <v>83</v>
      </c>
      <c r="C5" s="5" t="s">
        <v>4</v>
      </c>
      <c r="D5" s="5" t="s">
        <v>84</v>
      </c>
      <c r="E5" s="5" t="s">
        <v>85</v>
      </c>
      <c r="F5" s="5" t="s">
        <v>86</v>
      </c>
      <c r="G5" s="5" t="s">
        <v>87</v>
      </c>
      <c r="H5" s="5" t="s">
        <v>6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12" t="n">
        <f aca="false">IF(ROW()=6,E6-F6,G5+E6-F6)</f>
        <v>0</v>
      </c>
      <c r="H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12" t="n">
        <f aca="false">IF(ROW()=6,E7-F7,G6+E7-F7)</f>
        <v>0</v>
      </c>
      <c r="H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12" t="n">
        <f aca="false">IF(ROW()=6,E8-F8,G7+E8-F8)</f>
        <v>0</v>
      </c>
      <c r="H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12" t="n">
        <f aca="false">IF(ROW()=6,E9-F9,G8+E9-F9)</f>
        <v>0</v>
      </c>
      <c r="H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12" t="n">
        <f aca="false">IF(ROW()=6,E10-F10,G9+E10-F10)</f>
        <v>0</v>
      </c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12" t="n">
        <f aca="false">IF(ROW()=6,E11-F11,G10+E11-F11)</f>
        <v>0</v>
      </c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12" t="n">
        <f aca="false">IF(ROW()=6,E12-F12,G11+E12-F12)</f>
        <v>0</v>
      </c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12" t="n">
        <f aca="false">IF(ROW()=6,E13-F13,G12+E13-F13)</f>
        <v>0</v>
      </c>
      <c r="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12" t="n">
        <f aca="false">IF(ROW()=6,E14-F14,G13+E14-F14)</f>
        <v>0</v>
      </c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12" t="n">
        <f aca="false">IF(ROW()=6,E15-F15,G14+E15-F15)</f>
        <v>0</v>
      </c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12" t="n">
        <f aca="false">IF(ROW()=6,E16-F16,G15+E16-F16)</f>
        <v>0</v>
      </c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12" t="n">
        <f aca="false">IF(ROW()=6,E17-F17,G16+E17-F17)</f>
        <v>0</v>
      </c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12" t="n">
        <f aca="false">IF(ROW()=6,E18-F18,G17+E18-F18)</f>
        <v>0</v>
      </c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12" t="n">
        <f aca="false">IF(ROW()=6,E19-F19,G18+E19-F19)</f>
        <v>0</v>
      </c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12" t="n">
        <f aca="false">IF(ROW()=6,E20-F20,G19+E20-F20)</f>
        <v>0</v>
      </c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12" t="n">
        <f aca="false">IF(ROW()=6,E21-F21,G20+E21-F21)</f>
        <v>0</v>
      </c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12" t="n">
        <f aca="false">IF(ROW()=6,E22-F22,G21+E22-F22)</f>
        <v>0</v>
      </c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12" t="n">
        <f aca="false">IF(ROW()=6,E23-F23,G22+E23-F23)</f>
        <v>0</v>
      </c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12" t="n">
        <f aca="false">IF(ROW()=6,E24-F24,G23+E24-F24)</f>
        <v>0</v>
      </c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12" t="n">
        <f aca="false">IF(ROW()=6,E25-F25,G24+E25-F25)</f>
        <v>0</v>
      </c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12" t="n">
        <f aca="false">IF(ROW()=6,E26-F26,G25+E26-F26)</f>
        <v>0</v>
      </c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12" t="n">
        <f aca="false">IF(ROW()=6,E27-F27,G26+E27-F27)</f>
        <v>0</v>
      </c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12" t="n">
        <f aca="false">IF(ROW()=6,E28-F28,G27+E28-F28)</f>
        <v>0</v>
      </c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12" t="n">
        <f aca="false">IF(ROW()=6,E29-F29,G28+E29-F29)</f>
        <v>0</v>
      </c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12" t="n">
        <f aca="false">IF(ROW()=6,E30-F30,G29+E30-F30)</f>
        <v>0</v>
      </c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12" t="n">
        <f aca="false">IF(ROW()=6,E31-F31,G30+E31-F31)</f>
        <v>0</v>
      </c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12" t="n">
        <f aca="false">IF(ROW()=6,E32-F32,G31+E32-F32)</f>
        <v>0</v>
      </c>
      <c r="H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12" t="n">
        <f aca="false">IF(ROW()=6,E33-F33,G32+E33-F33)</f>
        <v>0</v>
      </c>
      <c r="H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12" t="n">
        <f aca="false">IF(ROW()=6,E34-F34,G33+E34-F34)</f>
        <v>0</v>
      </c>
      <c r="H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12" t="n">
        <f aca="false">IF(ROW()=6,E35-F35,G34+E35-F35)</f>
        <v>0</v>
      </c>
      <c r="H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12" t="n">
        <f aca="false">IF(ROW()=6,E36-F36,G35+E36-F36)</f>
        <v>0</v>
      </c>
      <c r="H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12" t="n">
        <f aca="false">IF(ROW()=6,E37-F37,G36+E37-F37)</f>
        <v>0</v>
      </c>
      <c r="H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12" t="n">
        <f aca="false">IF(ROW()=6,E38-F38,G37+E38-F38)</f>
        <v>0</v>
      </c>
      <c r="H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12" t="n">
        <f aca="false">IF(ROW()=6,E39-F39,G38+E39-F39)</f>
        <v>0</v>
      </c>
      <c r="H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12" t="n">
        <f aca="false">IF(ROW()=6,E40-F40,G39+E40-F40)</f>
        <v>0</v>
      </c>
      <c r="H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12" t="n">
        <f aca="false">IF(ROW()=6,E41-F41,G40+E41-F41)</f>
        <v>0</v>
      </c>
      <c r="H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12" t="n">
        <f aca="false">IF(ROW()=6,E42-F42,G41+E42-F42)</f>
        <v>0</v>
      </c>
      <c r="H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12" t="n">
        <f aca="false">IF(ROW()=6,E43-F43,G42+E43-F43)</f>
        <v>0</v>
      </c>
      <c r="H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12" t="n">
        <f aca="false">IF(ROW()=6,E44-F44,G43+E44-F44)</f>
        <v>0</v>
      </c>
      <c r="H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12" t="n">
        <f aca="false">IF(ROW()=6,E45-F45,G44+E45-F45)</f>
        <v>0</v>
      </c>
      <c r="H45" s="6"/>
    </row>
  </sheetData>
  <mergeCells count="3">
    <mergeCell ref="A1:H1"/>
    <mergeCell ref="A2:H2"/>
    <mergeCell ref="A3:H3"/>
  </mergeCells>
  <dataValidations count="2">
    <dataValidation allowBlank="false" errorStyle="stop" operator="between" showDropDown="false" showErrorMessage="false" showInputMessage="false" sqref="B6:B45" type="list">
      <formula1>"Income,Expenditure"</formula1>
      <formula2>0</formula2>
    </dataValidation>
    <dataValidation allowBlank="false" errorStyle="stop" operator="between" showDropDown="false" showErrorMessage="false" showInputMessage="false" sqref="H6:H45" type="list">
      <formula1>"Expected,Invoiced,Paid,Received,Overdue"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OFFICIAL | TM360°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</cols>
  <sheetData>
    <row r="1" customFormat="false" ht="42" hidden="false" customHeight="true" outlineLevel="0" collapsed="false">
      <c r="A1" s="1" t="s">
        <v>0</v>
      </c>
      <c r="B1" s="1"/>
      <c r="C1" s="1"/>
      <c r="D1" s="1"/>
    </row>
    <row r="2" customFormat="false" ht="24" hidden="false" customHeight="true" outlineLevel="0" collapsed="false">
      <c r="A2" s="2" t="s">
        <v>88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22.5" hidden="false" customHeight="true" outlineLevel="0" collapsed="false">
      <c r="A5" s="4" t="s">
        <v>89</v>
      </c>
      <c r="B5" s="4"/>
      <c r="C5" s="4"/>
      <c r="D5" s="4"/>
    </row>
    <row r="6" customFormat="false" ht="15" hidden="false" customHeight="false" outlineLevel="0" collapsed="false">
      <c r="A6" s="14" t="s">
        <v>90</v>
      </c>
      <c r="B6" s="6"/>
    </row>
    <row r="7" customFormat="false" ht="15" hidden="false" customHeight="false" outlineLevel="0" collapsed="false">
      <c r="A7" s="14" t="s">
        <v>91</v>
      </c>
      <c r="B7" s="6"/>
    </row>
    <row r="8" customFormat="false" ht="15" hidden="false" customHeight="false" outlineLevel="0" collapsed="false">
      <c r="A8" s="14" t="s">
        <v>92</v>
      </c>
      <c r="B8" s="6"/>
    </row>
    <row r="9" customFormat="false" ht="15" hidden="false" customHeight="false" outlineLevel="0" collapsed="false">
      <c r="A9" s="14" t="s">
        <v>93</v>
      </c>
      <c r="B9" s="6"/>
    </row>
    <row r="10" customFormat="false" ht="15" hidden="false" customHeight="false" outlineLevel="0" collapsed="false">
      <c r="A10" s="14" t="s">
        <v>94</v>
      </c>
      <c r="B10" s="6"/>
    </row>
    <row r="11" customFormat="false" ht="15" hidden="false" customHeight="false" outlineLevel="0" collapsed="false">
      <c r="A11" s="14" t="s">
        <v>95</v>
      </c>
      <c r="B11" s="6" t="s">
        <v>96</v>
      </c>
    </row>
    <row r="12" customFormat="false" ht="15" hidden="false" customHeight="false" outlineLevel="0" collapsed="false">
      <c r="A12" s="14" t="s">
        <v>97</v>
      </c>
      <c r="B12" s="13" t="n">
        <v>0.05</v>
      </c>
    </row>
    <row r="13" customFormat="false" ht="15" hidden="false" customHeight="false" outlineLevel="0" collapsed="false">
      <c r="A13" s="14" t="s">
        <v>98</v>
      </c>
      <c r="B13" s="6" t="s">
        <v>99</v>
      </c>
    </row>
    <row r="14" customFormat="false" ht="15" hidden="false" customHeight="false" outlineLevel="0" collapsed="false">
      <c r="A14" s="14" t="s">
        <v>16</v>
      </c>
      <c r="B14" s="6" t="n">
        <v>0</v>
      </c>
    </row>
    <row r="15" customFormat="false" ht="15" hidden="false" customHeight="false" outlineLevel="0" collapsed="false">
      <c r="A15" s="14" t="s">
        <v>18</v>
      </c>
      <c r="B15" s="6" t="n">
        <v>0</v>
      </c>
    </row>
    <row r="16" customFormat="false" ht="15" hidden="false" customHeight="false" outlineLevel="0" collapsed="false">
      <c r="A16" s="14" t="s">
        <v>19</v>
      </c>
      <c r="B16" s="6" t="n">
        <v>0</v>
      </c>
    </row>
  </sheetData>
  <mergeCells count="4">
    <mergeCell ref="A1:D1"/>
    <mergeCell ref="A2:D2"/>
    <mergeCell ref="A3:D3"/>
    <mergeCell ref="A5:D5"/>
  </mergeCells>
  <dataValidations count="1">
    <dataValidation allowBlank="false" errorStyle="stop" operator="between" showDropDown="false" showErrorMessage="false" showInputMessage="false" sqref="B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OFFICIAL | TM360°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5"/>
  </cols>
  <sheetData>
    <row r="1" customFormat="false" ht="42" hidden="false" customHeight="true" outlineLevel="0" collapsed="false">
      <c r="A1" s="1" t="s">
        <v>100</v>
      </c>
      <c r="B1" s="1"/>
      <c r="C1" s="1"/>
      <c r="D1" s="1"/>
      <c r="E1" s="1"/>
    </row>
    <row r="2" customFormat="false" ht="24" hidden="false" customHeight="true" outlineLevel="0" collapsed="false">
      <c r="A2" s="2" t="s">
        <v>101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22.5" hidden="false" customHeight="true" outlineLevel="0" collapsed="false">
      <c r="A5" s="4" t="s">
        <v>102</v>
      </c>
      <c r="B5" s="4"/>
      <c r="C5" s="4"/>
      <c r="D5" s="4"/>
      <c r="E5" s="4"/>
    </row>
    <row r="6" customFormat="false" ht="27" hidden="false" customHeight="true" outlineLevel="0" collapsed="false">
      <c r="A6" s="15" t="n">
        <v>1</v>
      </c>
      <c r="B6" s="16" t="s">
        <v>103</v>
      </c>
      <c r="C6" s="16"/>
      <c r="D6" s="16"/>
      <c r="E6" s="16"/>
    </row>
    <row r="7" customFormat="false" ht="27" hidden="false" customHeight="true" outlineLevel="0" collapsed="false">
      <c r="A7" s="15" t="n">
        <v>2</v>
      </c>
      <c r="B7" s="16" t="s">
        <v>104</v>
      </c>
      <c r="C7" s="16"/>
      <c r="D7" s="16"/>
      <c r="E7" s="16"/>
    </row>
    <row r="8" customFormat="false" ht="27" hidden="false" customHeight="true" outlineLevel="0" collapsed="false">
      <c r="A8" s="15" t="n">
        <v>3</v>
      </c>
      <c r="B8" s="16" t="s">
        <v>105</v>
      </c>
      <c r="C8" s="16"/>
      <c r="D8" s="16"/>
      <c r="E8" s="16"/>
    </row>
    <row r="9" customFormat="false" ht="27" hidden="false" customHeight="true" outlineLevel="0" collapsed="false">
      <c r="A9" s="15" t="n">
        <v>4</v>
      </c>
      <c r="B9" s="16" t="s">
        <v>106</v>
      </c>
      <c r="C9" s="16"/>
      <c r="D9" s="16"/>
      <c r="E9" s="16"/>
    </row>
    <row r="10" customFormat="false" ht="27" hidden="false" customHeight="true" outlineLevel="0" collapsed="false">
      <c r="A10" s="15" t="n">
        <v>5</v>
      </c>
      <c r="B10" s="16" t="s">
        <v>107</v>
      </c>
      <c r="C10" s="16"/>
      <c r="D10" s="16"/>
      <c r="E10" s="16"/>
    </row>
    <row r="11" customFormat="false" ht="27" hidden="false" customHeight="true" outlineLevel="0" collapsed="false">
      <c r="A11" s="15" t="n">
        <v>6</v>
      </c>
      <c r="B11" s="16" t="s">
        <v>108</v>
      </c>
      <c r="C11" s="16"/>
      <c r="D11" s="16"/>
      <c r="E11" s="16"/>
    </row>
    <row r="12" customFormat="false" ht="27" hidden="false" customHeight="true" outlineLevel="0" collapsed="false">
      <c r="A12" s="15" t="n">
        <v>7</v>
      </c>
      <c r="B12" s="16" t="s">
        <v>109</v>
      </c>
      <c r="C12" s="16"/>
      <c r="D12" s="16"/>
      <c r="E12" s="16"/>
    </row>
    <row r="13" customFormat="false" ht="27" hidden="false" customHeight="true" outlineLevel="0" collapsed="false">
      <c r="A13" s="15" t="n">
        <v>8</v>
      </c>
      <c r="B13" s="16" t="s">
        <v>110</v>
      </c>
      <c r="C13" s="16"/>
      <c r="D13" s="16"/>
      <c r="E13" s="16"/>
    </row>
    <row r="15" customFormat="false" ht="22.5" hidden="false" customHeight="true" outlineLevel="0" collapsed="false">
      <c r="A15" s="4" t="s">
        <v>111</v>
      </c>
      <c r="B15" s="4"/>
      <c r="C15" s="4"/>
      <c r="D15" s="4"/>
      <c r="E15" s="4"/>
    </row>
    <row r="16" customFormat="false" ht="15" hidden="false" customHeight="false" outlineLevel="0" collapsed="false">
      <c r="A16" s="0" t="s">
        <v>112</v>
      </c>
      <c r="B16" s="0" t="s">
        <v>113</v>
      </c>
    </row>
    <row r="17" customFormat="false" ht="15" hidden="false" customHeight="false" outlineLevel="0" collapsed="false">
      <c r="A17" s="0" t="s">
        <v>114</v>
      </c>
      <c r="B17" s="0" t="s">
        <v>115</v>
      </c>
    </row>
    <row r="18" customFormat="false" ht="15" hidden="false" customHeight="false" outlineLevel="0" collapsed="false">
      <c r="A18" s="0" t="s">
        <v>116</v>
      </c>
      <c r="B18" s="0" t="s">
        <v>117</v>
      </c>
    </row>
    <row r="19" customFormat="false" ht="15" hidden="false" customHeight="false" outlineLevel="0" collapsed="false">
      <c r="A19" s="0" t="s">
        <v>118</v>
      </c>
      <c r="B19" s="0" t="s">
        <v>119</v>
      </c>
    </row>
    <row r="20" customFormat="false" ht="15" hidden="false" customHeight="false" outlineLevel="0" collapsed="false">
      <c r="A20" s="0" t="s">
        <v>120</v>
      </c>
      <c r="B20" s="0" t="s">
        <v>121</v>
      </c>
    </row>
  </sheetData>
  <mergeCells count="13">
    <mergeCell ref="A1:E1"/>
    <mergeCell ref="A2:E2"/>
    <mergeCell ref="A3:E3"/>
    <mergeCell ref="A5:E5"/>
    <mergeCell ref="B6:E6"/>
    <mergeCell ref="B7:E7"/>
    <mergeCell ref="B8:E8"/>
    <mergeCell ref="B9:E9"/>
    <mergeCell ref="B10:E10"/>
    <mergeCell ref="B11:E11"/>
    <mergeCell ref="B12:E12"/>
    <mergeCell ref="B13:E13"/>
    <mergeCell ref="A15:E15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OFFICIAL | TM360°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2026-09-05T21:28:48Z</dcterms:created>
  <dc:creator>openpyxl</dc:creator>
  <dc:description/>
  <dc:language>en-US</dc:language>
  <cp:lastModifiedBy/>
  <dcterms:modified xsi:type="dcterms:W3CDTF">2026-09-05T21:28:48Z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